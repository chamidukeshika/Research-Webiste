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02" codeName="{00000000-0000-0000-0000-000000000000}"/>
  <workbookPr codeName="ThisWorkbook"/>
  <mc:AlternateContent xmlns:mc="http://schemas.openxmlformats.org/markup-compatibility/2006">
    <mc:Choice Requires="x15">
      <x15ac:absPath xmlns:x15ac="http://schemas.microsoft.com/office/spreadsheetml/2010/11/ac" url="https://mysliit.sharepoint.com/sites/CDAPSubmissionCloud/2526JCloud/25-26J-270-Students/"/>
    </mc:Choice>
  </mc:AlternateContent>
  <xr:revisionPtr revIDLastSave="30" documentId="13_ncr:1_{91F0E378-1919-4A17-9B95-ED9F4D6BCE73}" xr6:coauthVersionLast="47" xr6:coauthVersionMax="47" xr10:uidLastSave="{D6D8F228-5AE1-4A40-AC56-A43D99FB1B6D}"/>
  <bookViews>
    <workbookView xWindow="0" yWindow="0" windowWidth="10245" windowHeight="10920" firstSheet="4" activeTab="4" xr2:uid="{00000000-000D-0000-FFFF-FFFF00000000}"/>
  </bookViews>
  <sheets>
    <sheet name="Pro_Presentation" sheetId="8" r:id="rId1"/>
    <sheet name="Prog_Presentation_1" sheetId="19" r:id="rId2"/>
    <sheet name="Prog_Presentation_2" sheetId="17" r:id="rId3"/>
    <sheet name="Final_Presentation" sheetId="18" r:id="rId4"/>
    <sheet name="Final_Viva" sheetId="20" r:id="rId5"/>
  </sheets>
  <externalReferences>
    <externalReference r:id="rId6"/>
  </externalReferences>
  <definedNames>
    <definedName name="east" localSheetId="3">#REF!</definedName>
    <definedName name="east" localSheetId="4">#REF!</definedName>
    <definedName name="east" localSheetId="0">#REF!</definedName>
    <definedName name="east" localSheetId="1">#REF!</definedName>
    <definedName name="east" localSheetId="2">#REF!</definedName>
    <definedName name="east">#REF!</definedName>
    <definedName name="index">#REF!</definedName>
    <definedName name="North_Actual" localSheetId="3">#REF!</definedName>
    <definedName name="North_Actual" localSheetId="4">#REF!</definedName>
    <definedName name="North_Actual" localSheetId="0">#REF!</definedName>
    <definedName name="North_Actual" localSheetId="1">#REF!</definedName>
    <definedName name="North_Actual" localSheetId="2">#REF!</definedName>
    <definedName name="North_Actual">#REF!</definedName>
    <definedName name="North_Budget" localSheetId="3">Final_Presentation!$C$2</definedName>
    <definedName name="North_Budget" localSheetId="4">Final_Viva!$C$2</definedName>
    <definedName name="North_Budget" localSheetId="0">Pro_Presentation!$C$2</definedName>
    <definedName name="North_Budget" localSheetId="1">Prog_Presentation_1!$C$2</definedName>
    <definedName name="North_Budget" localSheetId="2">Prog_Presentation_2!$C$2</definedName>
    <definedName name="North_Budget">#REF!</definedName>
    <definedName name="South_Actual" localSheetId="3">#REF!</definedName>
    <definedName name="South_Actual" localSheetId="4">#REF!</definedName>
    <definedName name="South_Actual" localSheetId="0">#REF!</definedName>
    <definedName name="South_Actual" localSheetId="1">#REF!</definedName>
    <definedName name="South_Actual" localSheetId="2">#REF!</definedName>
    <definedName name="South_Actual">#REF!</definedName>
    <definedName name="South_Budget" localSheetId="3">#REF!</definedName>
    <definedName name="South_Budget" localSheetId="4">#REF!</definedName>
    <definedName name="South_Budget" localSheetId="0">#REF!</definedName>
    <definedName name="South_Budget" localSheetId="1">#REF!</definedName>
    <definedName name="South_Budget" localSheetId="2">#REF!</definedName>
    <definedName name="South_Budget">#REF!</definedName>
    <definedName name="west" localSheetId="3">#REF!</definedName>
    <definedName name="west" localSheetId="4">#REF!</definedName>
    <definedName name="west" localSheetId="0">#REF!</definedName>
    <definedName name="west" localSheetId="1">#REF!</definedName>
    <definedName name="west" localSheetId="2">#REF!</definedName>
    <definedName name="wes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20" l="1"/>
  <c r="F7" i="20"/>
  <c r="E7" i="20"/>
  <c r="D7" i="20"/>
  <c r="G7" i="18"/>
  <c r="F7" i="18"/>
  <c r="E7" i="18"/>
  <c r="D7" i="18"/>
</calcChain>
</file>

<file path=xl/sharedStrings.xml><?xml version="1.0" encoding="utf-8"?>
<sst xmlns="http://schemas.openxmlformats.org/spreadsheetml/2006/main" count="82" uniqueCount="18">
  <si>
    <t>Topic</t>
  </si>
  <si>
    <t>Smart Walking Stick for Visually Impaired Navigation</t>
  </si>
  <si>
    <t>Project ID</t>
  </si>
  <si>
    <t>25-26J-270</t>
  </si>
  <si>
    <t>Specialization</t>
  </si>
  <si>
    <t>IT</t>
  </si>
  <si>
    <t>Student ID</t>
  </si>
  <si>
    <t>IT22605498</t>
  </si>
  <si>
    <t>IT22605320</t>
  </si>
  <si>
    <t>IT22605948</t>
  </si>
  <si>
    <t>IT22592392</t>
  </si>
  <si>
    <t>PanelName</t>
  </si>
  <si>
    <t>IT-P06</t>
  </si>
  <si>
    <t xml:space="preserve"> Detailed Comments</t>
  </si>
  <si>
    <t>We have observed similar features available on the Internet and have asked the students to identify the novel aspects that can enhance and differentiate their research project</t>
  </si>
  <si>
    <t>There is no proper system integration, and component compatibility has not been adequately evaluated. Significant work remains to be completed for PP2. Additionally, there is limited clarity regarding the models and algorithms used, and evidence of hard-coded implementations was observed.</t>
  </si>
  <si>
    <t>Need to know the techniques and models implemented</t>
  </si>
  <si>
    <t>Not sufficient knowledge in technologies and components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</si>
</sst>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Arial"/>
    </font>
    <font>
      <sz val="11"/>
      <color theme="1"/>
      <name val="Calibri"/>
      <family val="2"/>
      <scheme val="minor"/>
    </font>
    <font>
      <b/>
      <sz val="13"/>
      <color theme="1"/>
      <name val="Times New Roman"/>
      <family val="1"/>
    </font>
    <font>
      <b/>
      <sz val="14"/>
      <color theme="8" tint="-0.249977111117893"/>
      <name val="Calibri"/>
      <family val="2"/>
      <scheme val="minor"/>
    </font>
    <font>
      <sz val="12"/>
      <color rgb="FF002060"/>
      <name val="Calibri"/>
      <family val="2"/>
      <scheme val="minor"/>
    </font>
    <font>
      <b/>
      <sz val="12"/>
      <color rgb="FF002060"/>
      <name val="Calibri"/>
      <family val="2"/>
      <scheme val="minor"/>
    </font>
  </fonts>
  <fills count="4">
    <fill>
      <patternFill patternType="none"/>
    </fill>
    <fill>
      <patternFill patternType="gray125"/>
    </fill>
    <fill>
      <patternFill patternType="solid">
        <fgColor theme="5" tint="0.79998168889431442"/>
        <bgColor indexed="64"/>
      </patternFill>
    </fill>
    <fill>
      <patternFill patternType="solid">
        <fgColor theme="7" tint="0.79998168889431442"/>
        <bgColor indexed="64"/>
      </patternFill>
    </fill>
  </fills>
  <borders count="12">
    <border>
      <left/>
      <right/>
      <top/>
      <bottom/>
      <diagonal/>
    </border>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0" borderId="1"/>
  </cellStyleXfs>
  <cellXfs count="17">
    <xf numFmtId="0" fontId="0" fillId="0" borderId="0" xfId="0"/>
    <xf numFmtId="0" fontId="1" fillId="0" borderId="1" xfId="1"/>
    <xf numFmtId="0" fontId="2" fillId="0" borderId="3" xfId="1" applyFont="1" applyBorder="1" applyAlignment="1">
      <alignment horizontal="right" vertical="center"/>
    </xf>
    <xf numFmtId="0" fontId="2" fillId="0" borderId="4" xfId="1" applyFont="1" applyBorder="1" applyAlignment="1">
      <alignment horizontal="right" vertical="center"/>
    </xf>
    <xf numFmtId="0" fontId="2" fillId="0" borderId="4" xfId="1" applyFont="1" applyBorder="1" applyAlignment="1" applyProtection="1">
      <alignment horizontal="right" vertical="center"/>
      <protection locked="0"/>
    </xf>
    <xf numFmtId="0" fontId="5" fillId="2" borderId="2" xfId="1" applyFont="1" applyFill="1" applyBorder="1" applyAlignment="1" applyProtection="1">
      <alignment horizontal="center" vertical="center" wrapText="1"/>
      <protection locked="0"/>
    </xf>
    <xf numFmtId="0" fontId="2" fillId="3" borderId="4" xfId="1" applyFont="1" applyFill="1" applyBorder="1" applyAlignment="1">
      <alignment horizontal="right" vertical="center" wrapText="1"/>
    </xf>
    <xf numFmtId="0" fontId="4" fillId="3" borderId="2" xfId="1" applyFont="1" applyFill="1" applyBorder="1" applyAlignment="1" applyProtection="1">
      <alignment horizontal="center" vertical="center" wrapText="1"/>
      <protection locked="0"/>
    </xf>
    <xf numFmtId="0" fontId="4" fillId="3" borderId="5" xfId="1" applyFont="1" applyFill="1" applyBorder="1" applyAlignment="1" applyProtection="1">
      <alignment horizontal="center" vertical="center" wrapText="1"/>
      <protection locked="0"/>
    </xf>
    <xf numFmtId="0" fontId="5" fillId="2" borderId="6" xfId="1" applyFont="1" applyFill="1" applyBorder="1" applyAlignment="1" applyProtection="1">
      <alignment horizontal="center" vertical="center" wrapText="1"/>
      <protection locked="0"/>
    </xf>
    <xf numFmtId="0" fontId="5" fillId="2" borderId="7" xfId="1" applyFont="1" applyFill="1" applyBorder="1" applyAlignment="1" applyProtection="1">
      <alignment horizontal="center" vertical="center" wrapText="1"/>
      <protection locked="0"/>
    </xf>
    <xf numFmtId="0" fontId="5" fillId="2" borderId="8" xfId="1" applyFont="1" applyFill="1" applyBorder="1" applyAlignment="1" applyProtection="1">
      <alignment horizontal="center" vertical="center" wrapText="1"/>
      <protection locked="0"/>
    </xf>
    <xf numFmtId="0" fontId="3" fillId="0" borderId="9" xfId="1" applyFont="1" applyBorder="1" applyAlignment="1">
      <alignment horizontal="center" vertical="center" wrapText="1"/>
    </xf>
    <xf numFmtId="0" fontId="3" fillId="0" borderId="10" xfId="1" applyFont="1" applyBorder="1" applyAlignment="1">
      <alignment horizontal="center" vertical="center" wrapText="1"/>
    </xf>
    <xf numFmtId="0" fontId="3" fillId="0" borderId="11" xfId="1" applyFont="1" applyBorder="1" applyAlignment="1">
      <alignment horizontal="center" vertical="center" wrapText="1"/>
    </xf>
    <xf numFmtId="0" fontId="3" fillId="0" borderId="2" xfId="1" applyFont="1" applyBorder="1" applyAlignment="1">
      <alignment horizontal="center" vertical="center" wrapText="1"/>
    </xf>
    <xf numFmtId="0" fontId="3" fillId="0" borderId="5" xfId="1" applyFont="1" applyBorder="1" applyAlignment="1">
      <alignment horizontal="center" vertical="center" wrapText="1"/>
    </xf>
  </cellXfs>
  <cellStyles count="2">
    <cellStyle name="Normal" xfId="0" builtinId="0"/>
    <cellStyle name="Normal 2" xfId="1" xr:uid="{00000000-0005-0000-0000-000001000000}"/>
  </cellStyles>
  <dxfs count="35">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
      <fill>
        <patternFill>
          <bgColor rgb="FFD9D9D9"/>
        </patternFill>
      </fill>
    </dxf>
    <dxf>
      <fill>
        <patternFill>
          <bgColor rgb="FFFCE4D6"/>
        </patternFill>
      </fill>
    </dxf>
    <dxf>
      <fill>
        <patternFill>
          <bgColor rgb="FFFFF2CC"/>
        </patternFill>
      </fill>
    </dxf>
    <dxf>
      <fill>
        <patternFill>
          <bgColor rgb="FF89BF65"/>
        </patternFill>
      </fill>
    </dxf>
    <dxf>
      <fill>
        <patternFill>
          <bgColor rgb="FFBDD7EE"/>
        </patternFill>
      </fill>
    </dxf>
    <dxf>
      <fill>
        <patternFill>
          <bgColor rgb="FFE7F8FD"/>
        </patternFill>
      </fill>
    </dxf>
    <dxf>
      <fill>
        <patternFill>
          <bgColor rgb="FFEEC2EC"/>
        </patternFill>
      </fill>
    </dxf>
  </dxfs>
  <tableStyles count="0" defaultTableStyle="TableStyleMedium2" defaultPivotStyle="PivotStyleLight16"/>
  <colors>
    <mruColors>
      <color rgb="FF89BF65"/>
      <color rgb="FFCFC507"/>
      <color rgb="FFD9D9D9"/>
      <color rgb="FFFCE4D6"/>
      <color rgb="FFFFF2CC"/>
      <color rgb="FFC6E0B4"/>
      <color rgb="FFBDD7EE"/>
      <color rgb="FFE7F8FD"/>
      <color rgb="FFEEC2EC"/>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Panel%20Sheets/IT-P6.xlsm" TargetMode="External"/><Relationship Id="rId2" Type="http://schemas.openxmlformats.org/officeDocument/2006/relationships/externalLinkPath" Target="https://mysliit.sharepoint.com/sites/CDAPSubmissionCloud/2526JCloud/Panel%20Sheets/IT-P6.xlsm" TargetMode="External"/><Relationship Id="rId1" Type="http://schemas.openxmlformats.org/officeDocument/2006/relationships/externalLinkPath" Target="/sites/CDAPSubmissionCloud/2526JCloud/Panel%20Sheets/IT-P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rop_Present"/>
      <sheetName val="Prog_Rev_1"/>
      <sheetName val="Prog_Rev_2"/>
      <sheetName val="Fina_Present"/>
      <sheetName val="VIVA"/>
    </sheetNames>
    <sheetDataSet>
      <sheetData sheetId="0"/>
      <sheetData sheetId="1"/>
      <sheetData sheetId="2"/>
      <sheetData sheetId="3"/>
      <sheetData sheetId="4"/>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G7"/>
  <sheetViews>
    <sheetView showGridLines="0" zoomScale="80" zoomScaleNormal="80" workbookViewId="0">
      <selection activeCell="D2" sqref="D2:G6"/>
    </sheetView>
  </sheetViews>
  <sheetFormatPr defaultColWidth="9" defaultRowHeight="1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25" style="1" customWidth="1"/>
    <col min="10" max="16384" width="9" style="1"/>
  </cols>
  <sheetData>
    <row r="1" spans="3:7" ht="19.149999999999999" customHeight="1" thickBot="1"/>
    <row r="2" spans="3:7" ht="20.25" customHeight="1">
      <c r="C2" s="2" t="s">
        <v>0</v>
      </c>
      <c r="D2" s="9" t="s">
        <v>1</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75">
      <c r="C6" s="3" t="s">
        <v>11</v>
      </c>
      <c r="D6" s="15" t="s">
        <v>12</v>
      </c>
      <c r="E6" s="15"/>
      <c r="F6" s="15"/>
      <c r="G6" s="16"/>
    </row>
    <row r="7" spans="3:7" ht="123" customHeight="1">
      <c r="C7" s="6" t="s">
        <v>13</v>
      </c>
      <c r="D7" s="7" t="s">
        <v>14</v>
      </c>
      <c r="E7" s="7" t="s">
        <v>14</v>
      </c>
      <c r="F7" s="7" t="s">
        <v>14</v>
      </c>
      <c r="G7" s="8" t="s">
        <v>14</v>
      </c>
    </row>
  </sheetData>
  <sheetProtection algorithmName="SHA-512" hashValue="zmdPrIde/upkWXFB7bBcs2Y7ZCdDFnNUL5/8GmKBVB3QET9y6dddiCN8tJZoAvCvLiSdQzd1VMMqiegk6NNzuA==" saltValue="El9dUYw15+eRBcCKiqFhvw==" spinCount="100000" sheet="1" objects="1" scenarios="1"/>
  <mergeCells count="4">
    <mergeCell ref="D4:G4"/>
    <mergeCell ref="D2:G2"/>
    <mergeCell ref="D3:G3"/>
    <mergeCell ref="D6:G6"/>
  </mergeCells>
  <conditionalFormatting sqref="D5:G5 D2:G3">
    <cfRule type="expression" dxfId="34" priority="160">
      <formula>FIND("IM",#REF!)</formula>
    </cfRule>
    <cfRule type="expression" dxfId="33" priority="161">
      <formula>FIND("CS",#REF!)</formula>
    </cfRule>
    <cfRule type="expression" dxfId="32" priority="162">
      <formula>FIND("ISE",#REF!)</formula>
    </cfRule>
    <cfRule type="expression" dxfId="31" priority="163">
      <formula>FIND("CSN",#REF!)</formula>
    </cfRule>
    <cfRule type="expression" dxfId="30" priority="164">
      <formula>FIND("DS",#REF!)</formula>
    </cfRule>
    <cfRule type="expression" dxfId="29" priority="165">
      <formula>FIND("IT",#REF!)</formula>
    </cfRule>
    <cfRule type="expression" dxfId="28" priority="166">
      <formula>FIND("SE",#REF!)</formula>
    </cfRule>
  </conditionalFormatting>
  <dataValidations count="1">
    <dataValidation type="list" allowBlank="1" showInputMessage="1" showErrorMessage="1" sqref="D4" xr:uid="{8B6EE82A-29B0-4D15-940B-4847C1D0374B}">
      <formula1>"Select,SE,IT,DS,CSN,ISE,CS,IM"</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1C1F9-517D-4136-BD40-903B5BA9503B}">
  <sheetPr codeName="Sheet5"/>
  <dimension ref="C1:G7"/>
  <sheetViews>
    <sheetView showGridLines="0" topLeftCell="A4" zoomScale="80" zoomScaleNormal="80" workbookViewId="0">
      <selection activeCell="D7" sqref="D7:G7"/>
    </sheetView>
  </sheetViews>
  <sheetFormatPr defaultColWidth="9" defaultRowHeight="1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25" style="1" customWidth="1"/>
    <col min="10" max="16384" width="9" style="1"/>
  </cols>
  <sheetData>
    <row r="1" spans="3:7" ht="19.149999999999999" customHeight="1"/>
    <row r="2" spans="3:7" ht="20.25" customHeight="1">
      <c r="C2" s="2" t="s">
        <v>0</v>
      </c>
      <c r="D2" s="9" t="s">
        <v>1</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 customHeight="1">
      <c r="C6" s="3" t="s">
        <v>11</v>
      </c>
      <c r="D6" s="15" t="s">
        <v>12</v>
      </c>
      <c r="E6" s="15"/>
      <c r="F6" s="15"/>
      <c r="G6" s="16"/>
    </row>
    <row r="7" spans="3:7" ht="209.25" customHeight="1">
      <c r="C7" s="6" t="s">
        <v>13</v>
      </c>
      <c r="D7" s="7" t="s">
        <v>15</v>
      </c>
      <c r="E7" s="7" t="s">
        <v>15</v>
      </c>
      <c r="F7" s="7" t="s">
        <v>15</v>
      </c>
      <c r="G7" s="8" t="s">
        <v>15</v>
      </c>
    </row>
  </sheetData>
  <sheetProtection algorithmName="SHA-512" hashValue="24QxtrEdyCrfk2FLods3IFB1jwBAfEuOMsqHTOZiVON4kiJVSYoErm5p4wvSGfe6RBCM+J0aSq/CR3W9LVFY9w==" saltValue="585u5VTLBtxSu3IUvZ6VKw==" spinCount="100000" sheet="1" objects="1" scenarios="1" selectLockedCells="1"/>
  <mergeCells count="4">
    <mergeCell ref="D2:G2"/>
    <mergeCell ref="D3:G3"/>
    <mergeCell ref="D4:G4"/>
    <mergeCell ref="D6:G6"/>
  </mergeCells>
  <dataValidations count="1">
    <dataValidation type="list" allowBlank="1" showInputMessage="1" showErrorMessage="1" sqref="D4" xr:uid="{94A3DEEE-6C28-4492-8101-0084A625EE7A}">
      <formula1>"Select,SE,IT,DS,CSN,ISE,CS,IM"</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8A642AF9-F05B-4F23-A2C1-7C47ECF1451B}">
            <xm:f>FIND("IM",Pro_Presentation!#REF!)</xm:f>
            <x14:dxf>
              <fill>
                <patternFill>
                  <bgColor rgb="FFEEC2EC"/>
                </patternFill>
              </fill>
            </x14:dxf>
          </x14:cfRule>
          <x14:cfRule type="expression" priority="2" id="{5D184279-B5CD-4A8D-9F0C-4EA6B16C1F56}">
            <xm:f>FIND("CS",Pro_Presentation!#REF!)</xm:f>
            <x14:dxf>
              <fill>
                <patternFill>
                  <bgColor rgb="FFE7F8FD"/>
                </patternFill>
              </fill>
            </x14:dxf>
          </x14:cfRule>
          <x14:cfRule type="expression" priority="3" id="{5FD80D9D-12F3-4949-A834-8DC22FA3417F}">
            <xm:f>FIND("ISE",Pro_Presentation!#REF!)</xm:f>
            <x14:dxf>
              <fill>
                <patternFill>
                  <bgColor rgb="FFBDD7EE"/>
                </patternFill>
              </fill>
            </x14:dxf>
          </x14:cfRule>
          <x14:cfRule type="expression" priority="4" id="{E2371CBF-C3E8-4780-842C-B79ECC0FDCE0}">
            <xm:f>FIND("CSN",Pro_Presentation!#REF!)</xm:f>
            <x14:dxf>
              <fill>
                <patternFill>
                  <bgColor rgb="FF89BF65"/>
                </patternFill>
              </fill>
            </x14:dxf>
          </x14:cfRule>
          <x14:cfRule type="expression" priority="5" id="{126FD872-0C0A-4E70-B106-E8D60CDC9FC2}">
            <xm:f>FIND("DS",Pro_Presentation!#REF!)</xm:f>
            <x14:dxf>
              <fill>
                <patternFill>
                  <bgColor rgb="FFFFF2CC"/>
                </patternFill>
              </fill>
            </x14:dxf>
          </x14:cfRule>
          <x14:cfRule type="expression" priority="6" id="{C4C9304E-7CF4-4CA6-A814-997B307658A1}">
            <xm:f>FIND("IT",Pro_Presentation!#REF!)</xm:f>
            <x14:dxf>
              <fill>
                <patternFill>
                  <bgColor rgb="FFFCE4D6"/>
                </patternFill>
              </fill>
            </x14:dxf>
          </x14:cfRule>
          <x14:cfRule type="expression" priority="7" id="{268959FB-EFEB-44E0-ADA9-B4689CC0A60D}">
            <xm:f>FIND("SE",Pro_Presentation!#REF!)</xm:f>
            <x14:dxf>
              <fill>
                <patternFill>
                  <bgColor rgb="FFD9D9D9"/>
                </patternFill>
              </fill>
            </x14:dxf>
          </x14:cfRule>
          <xm:sqref>D5:G5 D2:G3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83A89-3295-47AE-99E9-C8793BFC4C28}">
  <sheetPr codeName="Sheet3"/>
  <dimension ref="C1:G7"/>
  <sheetViews>
    <sheetView showGridLines="0" topLeftCell="A3" zoomScale="80" zoomScaleNormal="80" workbookViewId="0">
      <selection activeCell="D7" sqref="D7:G7"/>
    </sheetView>
  </sheetViews>
  <sheetFormatPr defaultColWidth="9" defaultRowHeight="1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25" style="1" customWidth="1"/>
    <col min="10" max="16384" width="9" style="1"/>
  </cols>
  <sheetData>
    <row r="1" spans="3:7" ht="19.149999999999999" customHeight="1"/>
    <row r="2" spans="3:7" ht="20.25" customHeight="1">
      <c r="C2" s="2" t="s">
        <v>0</v>
      </c>
      <c r="D2" s="9" t="s">
        <v>1</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 customHeight="1">
      <c r="C6" s="3" t="s">
        <v>11</v>
      </c>
      <c r="D6" s="15" t="s">
        <v>12</v>
      </c>
      <c r="E6" s="15"/>
      <c r="F6" s="15"/>
      <c r="G6" s="16"/>
    </row>
    <row r="7" spans="3:7" ht="409.5" customHeight="1">
      <c r="C7" s="6" t="s">
        <v>13</v>
      </c>
      <c r="D7" s="7" t="s">
        <v>16</v>
      </c>
      <c r="E7" s="7" t="s">
        <v>17</v>
      </c>
      <c r="F7" s="7" t="s">
        <v>16</v>
      </c>
      <c r="G7" s="8" t="s">
        <v>16</v>
      </c>
    </row>
  </sheetData>
  <sheetProtection algorithmName="SHA-512" hashValue="SA2MBxoOZ+Gj6RbKtbc4qvm16sYG4IMftfRvt6IZnI8KE76Me3tQ4YZw9lHLx6AAPEItIrOLqJgx5MG5Y9sVlg==" saltValue="fL7acaGBlyrZTishSMHLHQ==" spinCount="100000" sheet="1" objects="1" scenarios="1" selectLockedCells="1"/>
  <mergeCells count="4">
    <mergeCell ref="D2:G2"/>
    <mergeCell ref="D3:G3"/>
    <mergeCell ref="D4:G4"/>
    <mergeCell ref="D6:G6"/>
  </mergeCells>
  <dataValidations count="1">
    <dataValidation type="list" allowBlank="1" showInputMessage="1" showErrorMessage="1" sqref="D4" xr:uid="{E63769CC-C984-4489-8509-B8FD04233AAE}">
      <formula1>"Select,SE,IT,DS,CSN,ISE,CS,IM"</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89A9C96E-0D7A-4C91-889F-E0CD394728A6}">
            <xm:f>FIND("IM",Pro_Presentation!#REF!)</xm:f>
            <x14:dxf>
              <fill>
                <patternFill>
                  <bgColor rgb="FFEEC2EC"/>
                </patternFill>
              </fill>
            </x14:dxf>
          </x14:cfRule>
          <x14:cfRule type="expression" priority="2" id="{54106DD4-49C4-4F87-A5B0-F5E632C2E4A1}">
            <xm:f>FIND("CS",Pro_Presentation!#REF!)</xm:f>
            <x14:dxf>
              <fill>
                <patternFill>
                  <bgColor rgb="FFE7F8FD"/>
                </patternFill>
              </fill>
            </x14:dxf>
          </x14:cfRule>
          <x14:cfRule type="expression" priority="3" id="{4A7F0871-A517-406C-99D7-BAA84BC117F5}">
            <xm:f>FIND("ISE",Pro_Presentation!#REF!)</xm:f>
            <x14:dxf>
              <fill>
                <patternFill>
                  <bgColor rgb="FFBDD7EE"/>
                </patternFill>
              </fill>
            </x14:dxf>
          </x14:cfRule>
          <x14:cfRule type="expression" priority="4" id="{BA01B5A9-37E6-43F8-A696-191E52F66FEE}">
            <xm:f>FIND("CSN",Pro_Presentation!#REF!)</xm:f>
            <x14:dxf>
              <fill>
                <patternFill>
                  <bgColor rgb="FF89BF65"/>
                </patternFill>
              </fill>
            </x14:dxf>
          </x14:cfRule>
          <x14:cfRule type="expression" priority="5" id="{9BA7D77E-409B-428C-B64D-9AEFA797ADC3}">
            <xm:f>FIND("DS",Pro_Presentation!#REF!)</xm:f>
            <x14:dxf>
              <fill>
                <patternFill>
                  <bgColor rgb="FFFFF2CC"/>
                </patternFill>
              </fill>
            </x14:dxf>
          </x14:cfRule>
          <x14:cfRule type="expression" priority="6" id="{F56254D3-B1BB-4DA5-A24C-117FB46CA19B}">
            <xm:f>FIND("IT",Pro_Presentation!#REF!)</xm:f>
            <x14:dxf>
              <fill>
                <patternFill>
                  <bgColor rgb="FFFCE4D6"/>
                </patternFill>
              </fill>
            </x14:dxf>
          </x14:cfRule>
          <x14:cfRule type="expression" priority="7" id="{D2F52DAB-A5F1-47FC-A66C-5C5E1A200C8D}">
            <xm:f>FIND("SE",Pro_Presentation!#REF!)</xm:f>
            <x14:dxf>
              <fill>
                <patternFill>
                  <bgColor rgb="FFD9D9D9"/>
                </patternFill>
              </fill>
            </x14:dxf>
          </x14:cfRule>
          <xm:sqref>D5:G5 D2:G3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AB75A-113B-4F4D-A454-595F9724FC91}">
  <sheetPr codeName="Sheet4"/>
  <dimension ref="C1:G7"/>
  <sheetViews>
    <sheetView showGridLines="0" zoomScale="80" zoomScaleNormal="80" workbookViewId="0">
      <selection activeCell="D7" sqref="D7:G7"/>
    </sheetView>
  </sheetViews>
  <sheetFormatPr defaultColWidth="9" defaultRowHeight="1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25" style="1" customWidth="1"/>
    <col min="10" max="16384" width="9" style="1"/>
  </cols>
  <sheetData>
    <row r="1" spans="3:7" ht="19.149999999999999" customHeight="1"/>
    <row r="2" spans="3:7" ht="20.25" customHeight="1">
      <c r="C2" s="2" t="s">
        <v>0</v>
      </c>
      <c r="D2" s="9" t="s">
        <v>1</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 customHeight="1">
      <c r="C6" s="3" t="s">
        <v>11</v>
      </c>
      <c r="D6" s="15" t="s">
        <v>12</v>
      </c>
      <c r="E6" s="15"/>
      <c r="F6" s="15"/>
      <c r="G6" s="16"/>
    </row>
    <row r="7" spans="3:7" ht="374.25" customHeight="1">
      <c r="C7" s="6" t="s">
        <v>13</v>
      </c>
      <c r="D7" s="7" t="e">
        <f>VLOOKUP([1]Fina_Present!$AY$39,[1]Fina_Present!$AY$39:$BB$39,1,FALSE)</f>
        <v>#N/A</v>
      </c>
      <c r="E7" s="7" t="e">
        <f>VLOOKUP([1]Fina_Present!$AZ$39,[1]Fina_Present!$AZ$39:$BB$39,1,FALSE)</f>
        <v>#N/A</v>
      </c>
      <c r="F7" s="7" t="e">
        <f>VLOOKUP([1]Fina_Present!$BA$39,[1]Fina_Present!$BA$39:$BB$39,1,FALSE)</f>
        <v>#N/A</v>
      </c>
      <c r="G7" s="7" t="e">
        <f>VLOOKUP([1]Fina_Present!$BB$39,[1]Fina_Present!$BB$39:$BB$39,1,FALSE)</f>
        <v>#N/A</v>
      </c>
    </row>
  </sheetData>
  <sheetProtection algorithmName="SHA-512" hashValue="AhqYv/VYgwDopCgdinSHpMj69GDC2uIRx3w1io6SNcMB9f969fLWSzCRZYhyUhDy+qF541Q24HESaGRmFjpiVA==" saltValue="MoCdRpsqYc0IasN0gLHhtw==" spinCount="100000" sheet="1" objects="1" scenarios="1" selectLockedCells="1"/>
  <mergeCells count="4">
    <mergeCell ref="D2:G2"/>
    <mergeCell ref="D3:G3"/>
    <mergeCell ref="D4:G4"/>
    <mergeCell ref="D6:G6"/>
  </mergeCells>
  <dataValidations count="1">
    <dataValidation type="list" allowBlank="1" showInputMessage="1" showErrorMessage="1" sqref="D4" xr:uid="{3946D058-6926-4EDE-9485-3F2B3B9E6CFE}">
      <formula1>"Select,SE,IT,DS,CSN,ISE,CS,IM"</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B611C57B-3D87-487F-A93F-2AD2290A7F43}">
            <xm:f>FIND("IM",Pro_Presentation!#REF!)</xm:f>
            <x14:dxf>
              <fill>
                <patternFill>
                  <bgColor rgb="FFEEC2EC"/>
                </patternFill>
              </fill>
            </x14:dxf>
          </x14:cfRule>
          <x14:cfRule type="expression" priority="2" id="{404C7985-3582-4A01-BF70-45657F9534E6}">
            <xm:f>FIND("CS",Pro_Presentation!#REF!)</xm:f>
            <x14:dxf>
              <fill>
                <patternFill>
                  <bgColor rgb="FFE7F8FD"/>
                </patternFill>
              </fill>
            </x14:dxf>
          </x14:cfRule>
          <x14:cfRule type="expression" priority="3" id="{F51E05B2-44F0-4BA3-B444-44F4EC5881AB}">
            <xm:f>FIND("ISE",Pro_Presentation!#REF!)</xm:f>
            <x14:dxf>
              <fill>
                <patternFill>
                  <bgColor rgb="FFBDD7EE"/>
                </patternFill>
              </fill>
            </x14:dxf>
          </x14:cfRule>
          <x14:cfRule type="expression" priority="4" id="{C51A9373-4489-4EFC-816E-DBB789712347}">
            <xm:f>FIND("CSN",Pro_Presentation!#REF!)</xm:f>
            <x14:dxf>
              <fill>
                <patternFill>
                  <bgColor rgb="FF89BF65"/>
                </patternFill>
              </fill>
            </x14:dxf>
          </x14:cfRule>
          <x14:cfRule type="expression" priority="5" id="{D5134A3A-6BF9-4D90-847D-8E4D25E7BC3B}">
            <xm:f>FIND("DS",Pro_Presentation!#REF!)</xm:f>
            <x14:dxf>
              <fill>
                <patternFill>
                  <bgColor rgb="FFFFF2CC"/>
                </patternFill>
              </fill>
            </x14:dxf>
          </x14:cfRule>
          <x14:cfRule type="expression" priority="6" id="{7F99C48C-C56E-4ECA-800D-3ADAD9738B4C}">
            <xm:f>FIND("IT",Pro_Presentation!#REF!)</xm:f>
            <x14:dxf>
              <fill>
                <patternFill>
                  <bgColor rgb="FFFCE4D6"/>
                </patternFill>
              </fill>
            </x14:dxf>
          </x14:cfRule>
          <x14:cfRule type="expression" priority="7" id="{20751589-2AD0-4798-BC1E-6F38EF404556}">
            <xm:f>FIND("SE",Pro_Presentation!#REF!)</xm:f>
            <x14:dxf>
              <fill>
                <patternFill>
                  <bgColor rgb="FFD9D9D9"/>
                </patternFill>
              </fill>
            </x14:dxf>
          </x14:cfRule>
          <xm:sqref>D5:G5 D2:G3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80156-A246-4A38-AB8B-58BA3B5E5369}">
  <sheetPr codeName="Sheet6"/>
  <dimension ref="C1:G7"/>
  <sheetViews>
    <sheetView showGridLines="0" tabSelected="1" topLeftCell="A6" zoomScale="80" zoomScaleNormal="80" workbookViewId="0">
      <selection activeCell="D7" sqref="D7"/>
    </sheetView>
  </sheetViews>
  <sheetFormatPr defaultColWidth="9" defaultRowHeight="15"/>
  <cols>
    <col min="1" max="1" width="9" style="1"/>
    <col min="2" max="2" width="4.5" style="1" customWidth="1"/>
    <col min="3" max="3" width="26" style="1" customWidth="1"/>
    <col min="4" max="4" width="28.625" style="1" customWidth="1"/>
    <col min="5" max="5" width="29.875" style="1" customWidth="1"/>
    <col min="6" max="6" width="29" style="1" customWidth="1"/>
    <col min="7" max="7" width="31" style="1" customWidth="1"/>
    <col min="8" max="8" width="2.625" style="1" customWidth="1"/>
    <col min="9" max="9" width="3.25" style="1" customWidth="1"/>
    <col min="10" max="16384" width="9" style="1"/>
  </cols>
  <sheetData>
    <row r="1" spans="3:7" ht="19.149999999999999" customHeight="1"/>
    <row r="2" spans="3:7" ht="20.25" customHeight="1">
      <c r="C2" s="2" t="s">
        <v>0</v>
      </c>
      <c r="D2" s="9" t="s">
        <v>1</v>
      </c>
      <c r="E2" s="10"/>
      <c r="F2" s="10"/>
      <c r="G2" s="11"/>
    </row>
    <row r="3" spans="3:7" ht="20.25" customHeight="1">
      <c r="C3" s="2" t="s">
        <v>2</v>
      </c>
      <c r="D3" s="9" t="s">
        <v>3</v>
      </c>
      <c r="E3" s="10"/>
      <c r="F3" s="10"/>
      <c r="G3" s="11"/>
    </row>
    <row r="4" spans="3:7" ht="20.25" customHeight="1">
      <c r="C4" s="4" t="s">
        <v>4</v>
      </c>
      <c r="D4" s="12" t="s">
        <v>5</v>
      </c>
      <c r="E4" s="13"/>
      <c r="F4" s="13"/>
      <c r="G4" s="14"/>
    </row>
    <row r="5" spans="3:7" ht="20.45" customHeight="1">
      <c r="C5" s="3" t="s">
        <v>6</v>
      </c>
      <c r="D5" s="5" t="s">
        <v>7</v>
      </c>
      <c r="E5" s="5" t="s">
        <v>8</v>
      </c>
      <c r="F5" s="5" t="s">
        <v>9</v>
      </c>
      <c r="G5" s="5" t="s">
        <v>10</v>
      </c>
    </row>
    <row r="6" spans="3:7" ht="18" customHeight="1">
      <c r="C6" s="3" t="s">
        <v>11</v>
      </c>
      <c r="D6" s="15" t="s">
        <v>12</v>
      </c>
      <c r="E6" s="15"/>
      <c r="F6" s="15"/>
      <c r="G6" s="16"/>
    </row>
    <row r="7" spans="3:7" ht="409.5" customHeight="1">
      <c r="C7" s="6" t="s">
        <v>13</v>
      </c>
      <c r="D7" s="7" t="e">
        <f>VLOOKUP([1]VIVA!$AY$33,[1]VIVA!$AY$33:$BB$33,1,FALSE)</f>
        <v>#N/A</v>
      </c>
      <c r="E7" s="7" t="e">
        <f>VLOOKUP([1]VIVA!$AZ$33,[1]VIVA!$AZ$33:$BB$33,1,FALSE)</f>
        <v>#N/A</v>
      </c>
      <c r="F7" s="7" t="e">
        <f>VLOOKUP([1]VIVA!$BA$33,[1]VIVA!$BA$33:$BB$33,1,FALSE)</f>
        <v>#N/A</v>
      </c>
      <c r="G7" s="7" t="e">
        <f>VLOOKUP([1]VIVA!$BB$33,[1]VIVA!$BB$33:$BB$33,1,FALSE)</f>
        <v>#N/A</v>
      </c>
    </row>
  </sheetData>
  <sheetProtection algorithmName="SHA-512" hashValue="32m/SwwxsEyzPVnuqh0bnYENSqW+0B+WGNpLA3bDv7KTRZrBmyHGngRmUrX53szebpzf9sq7o+vO5xKmyHgEOg==" saltValue="t3t+dvQbH2EKqCnLKCcxFw==" spinCount="100000" sheet="1" objects="1" scenarios="1" selectLockedCells="1"/>
  <mergeCells count="4">
    <mergeCell ref="D2:G2"/>
    <mergeCell ref="D3:G3"/>
    <mergeCell ref="D4:G4"/>
    <mergeCell ref="D6:G6"/>
  </mergeCells>
  <dataValidations count="1">
    <dataValidation type="list" allowBlank="1" showInputMessage="1" showErrorMessage="1" sqref="D4" xr:uid="{BCD66E66-4347-492A-9BAD-9C5AE0BA2C13}">
      <formula1>"Select,SE,IT,DS,CSN,ISE,CS,IM"</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 id="{AE0D2C27-9E22-4823-BA5F-B9962248DE16}">
            <xm:f>FIND("IM",Pro_Presentation!#REF!)</xm:f>
            <x14:dxf>
              <fill>
                <patternFill>
                  <bgColor rgb="FFEEC2EC"/>
                </patternFill>
              </fill>
            </x14:dxf>
          </x14:cfRule>
          <x14:cfRule type="expression" priority="2" id="{70E3292D-5AD1-453B-B5F7-0C3603D44143}">
            <xm:f>FIND("CS",Pro_Presentation!#REF!)</xm:f>
            <x14:dxf>
              <fill>
                <patternFill>
                  <bgColor rgb="FFE7F8FD"/>
                </patternFill>
              </fill>
            </x14:dxf>
          </x14:cfRule>
          <x14:cfRule type="expression" priority="3" id="{6197F5CE-CE1A-4C8C-8BD4-9F88FB4C8F36}">
            <xm:f>FIND("ISE",Pro_Presentation!#REF!)</xm:f>
            <x14:dxf>
              <fill>
                <patternFill>
                  <bgColor rgb="FFBDD7EE"/>
                </patternFill>
              </fill>
            </x14:dxf>
          </x14:cfRule>
          <x14:cfRule type="expression" priority="4" id="{63E8F9C9-793E-4A5D-8483-239D71C6946A}">
            <xm:f>FIND("CSN",Pro_Presentation!#REF!)</xm:f>
            <x14:dxf>
              <fill>
                <patternFill>
                  <bgColor rgb="FF89BF65"/>
                </patternFill>
              </fill>
            </x14:dxf>
          </x14:cfRule>
          <x14:cfRule type="expression" priority="5" id="{1A57954F-0AD8-4F77-9806-49037E1635FE}">
            <xm:f>FIND("DS",Pro_Presentation!#REF!)</xm:f>
            <x14:dxf>
              <fill>
                <patternFill>
                  <bgColor rgb="FFFFF2CC"/>
                </patternFill>
              </fill>
            </x14:dxf>
          </x14:cfRule>
          <x14:cfRule type="expression" priority="6" id="{9E3A3836-8554-4DCA-BDA1-B5C7CA29F310}">
            <xm:f>FIND("IT",Pro_Presentation!#REF!)</xm:f>
            <x14:dxf>
              <fill>
                <patternFill>
                  <bgColor rgb="FFFCE4D6"/>
                </patternFill>
              </fill>
            </x14:dxf>
          </x14:cfRule>
          <x14:cfRule type="expression" priority="7" id="{B88C7051-174B-4041-AEF7-647EB20ECE9B}">
            <xm:f>FIND("SE",Pro_Presentation!#REF!)</xm:f>
            <x14:dxf>
              <fill>
                <patternFill>
                  <bgColor rgb="FFD9D9D9"/>
                </patternFill>
              </fill>
            </x14:dxf>
          </x14:cfRule>
          <xm:sqref>D5:G5 D2:G3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DC20DB7DB36DD49BC8150064CF95DD9" ma:contentTypeVersion="13" ma:contentTypeDescription="Create a new document." ma:contentTypeScope="" ma:versionID="cbef7e19daa0d389b559f873c5a3e553">
  <xsd:schema xmlns:xsd="http://www.w3.org/2001/XMLSchema" xmlns:xs="http://www.w3.org/2001/XMLSchema" xmlns:p="http://schemas.microsoft.com/office/2006/metadata/properties" xmlns:ns2="b315195e-671e-423b-bef2-4f1205612242" xmlns:ns3="db72c12f-87a4-44ab-bbc5-4cc8306b158a" targetNamespace="http://schemas.microsoft.com/office/2006/metadata/properties" ma:root="true" ma:fieldsID="060a19f19fc398f1deb5a7ac3ca80118" ns2:_="" ns3:_="">
    <xsd:import namespace="b315195e-671e-423b-bef2-4f1205612242"/>
    <xsd:import namespace="db72c12f-87a4-44ab-bbc5-4cc8306b158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BillingMetadata"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315195e-671e-423b-bef2-4f120561224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7c8a686f-bba2-44f2-819b-edf0b3003fb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b72c12f-87a4-44ab-bbc5-4cc8306b158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a90b710-f748-4220-b362-4102ae550bf9}" ma:internalName="TaxCatchAll" ma:showField="CatchAllData" ma:web="db72c12f-87a4-44ab-bbc5-4cc8306b158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315195e-671e-423b-bef2-4f1205612242">
      <Terms xmlns="http://schemas.microsoft.com/office/infopath/2007/PartnerControls"/>
    </lcf76f155ced4ddcb4097134ff3c332f>
    <TaxCatchAll xmlns="db72c12f-87a4-44ab-bbc5-4cc8306b158a" xsi:nil="true"/>
  </documentManagement>
</p:properties>
</file>

<file path=customXml/itemProps1.xml><?xml version="1.0" encoding="utf-8"?>
<ds:datastoreItem xmlns:ds="http://schemas.openxmlformats.org/officeDocument/2006/customXml" ds:itemID="{F3D5C33B-3EA1-4785-937B-767BD8410EF3}"/>
</file>

<file path=customXml/itemProps2.xml><?xml version="1.0" encoding="utf-8"?>
<ds:datastoreItem xmlns:ds="http://schemas.openxmlformats.org/officeDocument/2006/customXml" ds:itemID="{CCE3352C-2A81-4923-9982-6B806BCBCDA9}"/>
</file>

<file path=customXml/itemProps3.xml><?xml version="1.0" encoding="utf-8"?>
<ds:datastoreItem xmlns:ds="http://schemas.openxmlformats.org/officeDocument/2006/customXml" ds:itemID="{FBFC6CA6-01EB-4C89-9649-BD9531AE8E07}"/>
</file>

<file path=docMetadata/LabelInfo.xml><?xml version="1.0" encoding="utf-8"?>
<clbl:labelList xmlns:clbl="http://schemas.microsoft.com/office/2020/mipLabelMetadata">
  <clbl:label id="{1337832b-e06e-4e87-85f5-ecfde68f9c8e}" enabled="1" method="Standard" siteId="{44e3cf94-19c9-4e32-96c3-14f5bf01391a}"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Dr. Dasuni Nawinna</dc:creator>
  <cp:keywords/>
  <dc:description/>
  <cp:lastModifiedBy>Cheshani Peiris</cp:lastModifiedBy>
  <cp:revision/>
  <dcterms:created xsi:type="dcterms:W3CDTF">2020-04-28T03:29:05Z</dcterms:created>
  <dcterms:modified xsi:type="dcterms:W3CDTF">2026-04-08T10:32:43Z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0x0101008DC20DB7DB36DD49BC8150064CF95DD9</vt:lpwstr>
  </property>
  <property fmtid="{D5CDD505-2E9C-101B-9397-08002B2CF9AE}" pid="3" name="MediaServiceImageTags">
    <vt:lpwstr/>
  </property>
</Properties>
</file>